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C4C3EC3A-CD1F-44D7-B4B4-291496EDE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otation" sheetId="1" r:id="rId1"/>
    <sheet name="Note" sheetId="2" r:id="rId2"/>
  </sheets>
  <definedNames>
    <definedName name="_xlnm.Print_Area" localSheetId="0">Quotation!$A$1:$F$34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5" i="1" s="1"/>
  <c r="F2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<sst xmlns="http://schemas.openxmlformats.org/spreadsheetml/2006/main" count="33" uniqueCount="32">
  <si>
    <t xml:space="preserve">   XAYABURI POWER COMPANY LIMITED </t>
  </si>
  <si>
    <t xml:space="preserve">   215 Lane xang Avenue ,Ban Xieng yeun </t>
  </si>
  <si>
    <t xml:space="preserve"> Muang  Chanthabouly  ,Vientiane, Lao P D R </t>
  </si>
  <si>
    <t>Date:</t>
  </si>
  <si>
    <t>ລ/ດ</t>
  </si>
  <si>
    <t>ລາຍການ</t>
  </si>
  <si>
    <t>ຈຳນວນ</t>
  </si>
  <si>
    <t>ຫົວໜ່ວຍ</t>
  </si>
  <si>
    <t>ລາຄາ / ຫົວໜ່ວຍ</t>
  </si>
  <si>
    <t>ຈຳນວນເງີນ</t>
  </si>
  <si>
    <t>Item</t>
  </si>
  <si>
    <t>Description</t>
  </si>
  <si>
    <t>Quantity</t>
  </si>
  <si>
    <t>Unit</t>
  </si>
  <si>
    <t>Unit Price(THB)</t>
  </si>
  <si>
    <t>Amount (THB)</t>
  </si>
  <si>
    <t xml:space="preserve">      Sub Total THB</t>
  </si>
  <si>
    <t>ອາກອນມູນຄ່າເພີ້ມ  %</t>
  </si>
  <si>
    <t>Total THB</t>
  </si>
  <si>
    <t>ຜູ່ຈັດການ</t>
  </si>
  <si>
    <t>เสนอ ราคา ภายใน 60 วัน</t>
  </si>
  <si>
    <t>ส่งสีนค้าภายใน 14 วัน หลังออก PO</t>
  </si>
  <si>
    <t>เคดีด 30 วัน</t>
  </si>
  <si>
    <t>Link</t>
  </si>
  <si>
    <t xml:space="preserve">Comment </t>
  </si>
  <si>
    <t>ຕົວຍ່າງ</t>
  </si>
  <si>
    <t>https://www.youtube.com/watch?v=7NG0heThVKg</t>
  </si>
  <si>
    <t>ສັງຈາກນະຄອນຫຼວງລອນດອນ</t>
  </si>
  <si>
    <t>Ref PR: QUO-1400-2025-12-0011</t>
  </si>
  <si>
    <t>Siliga gel 25Kg</t>
  </si>
  <si>
    <t>Ea</t>
  </si>
  <si>
    <t>NO: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</si>
</sst>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i/>
      <u/>
      <sz val="11"/>
      <color theme="1" tint="0.499984740745262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Saysettha OT"/>
      <charset val="134"/>
    </font>
    <font>
      <u/>
      <sz val="12"/>
      <color theme="1"/>
      <name val="Saysettha OT"/>
      <charset val="134"/>
    </font>
    <font>
      <sz val="11"/>
      <color theme="1"/>
      <name val="Cambria"/>
      <charset val="134"/>
      <scheme val="major"/>
    </font>
    <font>
      <sz val="11"/>
      <color theme="1"/>
      <name val="Phetsarath OT"/>
    </font>
    <font>
      <b/>
      <sz val="11"/>
      <color theme="1" tint="0.499984740745262"/>
      <name val="Phetsarath OT"/>
    </font>
    <font>
      <sz val="14"/>
      <color theme="1"/>
      <name val="Phetsarath OT"/>
    </font>
    <font>
      <i/>
      <u/>
      <sz val="11"/>
      <name val="Phetsarath OT"/>
    </font>
    <font>
      <sz val="12"/>
      <color theme="1"/>
      <name val="Phetsarath OT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4" fontId="4" fillId="0" borderId="0" xfId="0" applyNumberFormat="1" applyFont="1"/>
    <xf numFmtId="0" fontId="6" fillId="0" borderId="0" xfId="0" applyFont="1" applyAlignment="1">
      <alignment vertical="center"/>
    </xf>
    <xf numFmtId="0" fontId="5" fillId="0" borderId="0" xfId="0" applyFont="1"/>
    <xf numFmtId="0" fontId="0" fillId="0" borderId="22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/>
    </xf>
    <xf numFmtId="0" fontId="7" fillId="0" borderId="11" xfId="0" applyFont="1" applyBorder="1"/>
    <xf numFmtId="0" fontId="7" fillId="0" borderId="12" xfId="0" applyFont="1" applyBorder="1"/>
    <xf numFmtId="0" fontId="11" fillId="0" borderId="13" xfId="0" applyFont="1" applyBorder="1"/>
    <xf numFmtId="4" fontId="7" fillId="0" borderId="14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right"/>
    </xf>
    <xf numFmtId="0" fontId="7" fillId="0" borderId="1" xfId="0" applyFont="1" applyBorder="1" applyAlignment="1">
      <alignment vertical="center"/>
    </xf>
    <xf numFmtId="0" fontId="7" fillId="0" borderId="17" xfId="0" applyFont="1" applyBorder="1"/>
    <xf numFmtId="0" fontId="7" fillId="0" borderId="3" xfId="0" applyFont="1" applyBorder="1"/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" fontId="7" fillId="0" borderId="20" xfId="0" applyNumberFormat="1" applyFont="1" applyBorder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4" fontId="7" fillId="0" borderId="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2334236</xdr:colOff>
      <xdr:row>9</xdr:row>
      <xdr:rowOff>18403</xdr:rowOff>
    </xdr:from>
    <xdr:to>
      <xdr:col>3</xdr:col>
      <xdr:colOff>311183</xdr:colOff>
      <xdr:row>12</xdr:row>
      <xdr:rowOff>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1765" y="2208530"/>
          <a:ext cx="985520" cy="603250"/>
        </a:xfrm>
        <a:prstGeom prst="rect">
          <a:avLst/>
        </a:prstGeom>
      </xdr:spPr>
    </xdr:pic>
    <xdr:clientData/>
  </xdr:twoCellAnchor>
  <xdr:twoCellAnchor editAs="oneCell">
    <xdr:from>
      <xdr:col>2</xdr:col>
      <xdr:colOff>328930</xdr:colOff>
      <xdr:row>27</xdr:row>
      <xdr:rowOff>279400</xdr:rowOff>
    </xdr:from>
    <xdr:to>
      <xdr:col>4</xdr:col>
      <xdr:colOff>1129718</xdr:colOff>
      <xdr:row>33</xdr:row>
      <xdr:rowOff>258358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7914005"/>
          <a:ext cx="1918970" cy="1513840"/>
        </a:xfrm>
        <a:prstGeom prst="rect">
          <a:avLst/>
        </a:prstGeom>
      </xdr:spPr>
    </xdr:pic>
    <xdr:clientData/>
  </xdr:twoCellAnchor>
  <xdr:twoCellAnchor editAs="oneCell">
    <xdr:from>
      <xdr:col>0</xdr:col>
      <xdr:colOff>281608</xdr:colOff>
      <xdr:row>0</xdr:row>
      <xdr:rowOff>49696</xdr:rowOff>
    </xdr:from>
    <xdr:to>
      <xdr:col>4</xdr:col>
      <xdr:colOff>625336</xdr:colOff>
      <xdr:row>8</xdr:row>
      <xdr:rowOff>269338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49965F-4396-485B-A9A3-4E7762A8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608" y="49696"/>
          <a:ext cx="4286250" cy="19341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3" zoomScale="115" zoomScaleNormal="115" workbookViewId="0">
      <selection activeCell="F6" sqref="F6"/>
    </sheetView>
  </sheetViews>
  <sheetFormatPr defaultColWidth="9.140625" defaultRowHeight="15"/>
  <cols>
    <col min="1" max="1" width="5.42578125" customWidth="1"/>
    <col min="2" max="2" width="36.140625" customWidth="1"/>
    <col min="3" max="3" width="8.7109375" customWidth="1"/>
    <col min="4" max="4" width="8.85546875" customWidth="1"/>
    <col min="5" max="5" width="17" customWidth="1"/>
    <col min="6" max="6" width="14.140625" customWidth="1"/>
    <col min="7" max="7" width="18.140625" customWidth="1"/>
  </cols>
  <sheetData>
    <row r="1" spans="1:9" ht="16.5">
      <c r="A1" s="18"/>
      <c r="B1" s="18"/>
      <c r="C1" s="18"/>
      <c r="D1" s="18"/>
      <c r="E1" s="18"/>
      <c r="F1" s="18"/>
    </row>
    <row r="2" spans="1:9" ht="16.5">
      <c r="A2" s="18"/>
      <c r="B2" s="18"/>
      <c r="C2" s="18"/>
      <c r="D2" s="18"/>
      <c r="E2" s="18"/>
      <c r="F2" s="18"/>
    </row>
    <row r="3" spans="1:9" ht="16.5">
      <c r="A3" s="18"/>
      <c r="B3" s="18"/>
      <c r="C3" s="18"/>
      <c r="D3" s="18"/>
      <c r="E3" s="18"/>
      <c r="F3" s="18"/>
    </row>
    <row r="4" spans="1:9" ht="16.5">
      <c r="A4" s="18"/>
      <c r="B4" s="18"/>
      <c r="C4" s="18"/>
      <c r="D4" s="18"/>
      <c r="E4" s="18"/>
      <c r="F4" s="19"/>
      <c r="I4" s="10"/>
    </row>
    <row r="5" spans="1:9" ht="21">
      <c r="A5" s="18"/>
      <c r="B5" s="18"/>
      <c r="C5" s="18"/>
      <c r="D5" s="18"/>
      <c r="E5" s="18"/>
      <c r="F5" s="20"/>
      <c r="I5" s="11"/>
    </row>
    <row r="6" spans="1:9" ht="16.5">
      <c r="A6" s="18"/>
      <c r="B6" s="18"/>
      <c r="C6" s="18"/>
      <c r="D6" s="18"/>
      <c r="E6" s="18"/>
      <c r="F6" s="21" t="s">
        <v>31</v>
      </c>
    </row>
    <row r="7" spans="1:9" ht="16.5">
      <c r="A7" s="18"/>
      <c r="B7" s="18"/>
      <c r="C7" s="18"/>
      <c r="D7" s="18"/>
      <c r="E7" s="18"/>
      <c r="F7" s="18"/>
    </row>
    <row r="8" spans="1:9" ht="16.5">
      <c r="A8" s="18"/>
      <c r="B8" s="18"/>
      <c r="C8" s="18"/>
      <c r="D8" s="18"/>
      <c r="E8" s="18"/>
      <c r="F8" s="18"/>
    </row>
    <row r="9" spans="1:9" ht="48.75" customHeight="1">
      <c r="A9" s="18"/>
      <c r="B9" s="18"/>
      <c r="C9" s="18"/>
      <c r="D9" s="18"/>
      <c r="E9" s="18"/>
      <c r="F9" s="21"/>
      <c r="H9" s="10"/>
    </row>
    <row r="10" spans="1:9" ht="16.5">
      <c r="A10" s="18"/>
      <c r="B10" s="18"/>
      <c r="C10" s="18"/>
      <c r="D10" s="18"/>
      <c r="E10" s="18"/>
      <c r="F10" s="18"/>
    </row>
    <row r="11" spans="1:9" ht="16.5">
      <c r="A11" s="18"/>
      <c r="B11" s="18"/>
      <c r="C11" s="18"/>
      <c r="D11" s="18"/>
      <c r="E11" s="18"/>
      <c r="F11" s="18"/>
    </row>
    <row r="12" spans="1:9" ht="16.5">
      <c r="A12" s="18"/>
      <c r="B12" s="18"/>
      <c r="C12" s="18"/>
      <c r="D12" s="18"/>
      <c r="E12" s="18"/>
      <c r="F12" s="18"/>
    </row>
    <row r="13" spans="1:9" ht="6" customHeight="1">
      <c r="A13" s="18"/>
      <c r="B13" s="18"/>
      <c r="C13" s="18"/>
      <c r="D13" s="18"/>
      <c r="E13" s="18"/>
      <c r="F13" s="18"/>
    </row>
    <row r="14" spans="1:9" ht="13.9" customHeight="1">
      <c r="A14" s="18" t="s">
        <v>0</v>
      </c>
      <c r="B14" s="18"/>
      <c r="C14" s="18"/>
      <c r="D14" s="18"/>
      <c r="E14" s="55"/>
      <c r="F14" s="55"/>
    </row>
    <row r="15" spans="1:9" ht="16.5">
      <c r="A15" s="18" t="s">
        <v>1</v>
      </c>
      <c r="B15" s="18"/>
      <c r="C15" s="18"/>
      <c r="D15" s="18"/>
      <c r="E15" s="55" t="s">
        <v>28</v>
      </c>
      <c r="F15" s="55"/>
    </row>
    <row r="16" spans="1:9" ht="16.5">
      <c r="A16" s="18" t="s">
        <v>2</v>
      </c>
      <c r="B16" s="18"/>
      <c r="C16" s="18"/>
      <c r="D16" s="18"/>
      <c r="E16" s="22" t="s">
        <v>3</v>
      </c>
      <c r="F16" s="23"/>
    </row>
    <row r="17" spans="1:8" ht="16.5">
      <c r="A17" s="24" t="s">
        <v>4</v>
      </c>
      <c r="B17" s="24" t="s">
        <v>5</v>
      </c>
      <c r="C17" s="24" t="s">
        <v>6</v>
      </c>
      <c r="D17" s="24" t="s">
        <v>7</v>
      </c>
      <c r="E17" s="24" t="s">
        <v>8</v>
      </c>
      <c r="F17" s="24" t="s">
        <v>9</v>
      </c>
    </row>
    <row r="18" spans="1:8" ht="16.5">
      <c r="A18" s="25" t="s">
        <v>10</v>
      </c>
      <c r="B18" s="25" t="s">
        <v>11</v>
      </c>
      <c r="C18" s="25" t="s">
        <v>12</v>
      </c>
      <c r="D18" s="25" t="s">
        <v>13</v>
      </c>
      <c r="E18" s="25" t="s">
        <v>14</v>
      </c>
      <c r="F18" s="25" t="s">
        <v>15</v>
      </c>
    </row>
    <row r="19" spans="1:8" ht="30.75" customHeight="1">
      <c r="A19" s="52">
        <v>1</v>
      </c>
      <c r="B19" s="26" t="s">
        <v>29</v>
      </c>
      <c r="C19" s="53">
        <v>4</v>
      </c>
      <c r="D19" s="50" t="s">
        <v>30</v>
      </c>
      <c r="E19" s="50">
        <v>7000</v>
      </c>
      <c r="F19" s="49">
        <f>C19*E19</f>
        <v>28000</v>
      </c>
    </row>
    <row r="20" spans="1:8" ht="199.5" customHeight="1">
      <c r="A20" s="42"/>
      <c r="B20" s="27" t="e" vm="1">
        <v>#VALUE!</v>
      </c>
      <c r="C20" s="54"/>
      <c r="D20" s="51"/>
      <c r="E20" s="51"/>
      <c r="F20" s="48"/>
    </row>
    <row r="21" spans="1:8" ht="18.75" customHeight="1">
      <c r="A21" s="41">
        <v>2</v>
      </c>
      <c r="B21" s="26"/>
      <c r="C21" s="43"/>
      <c r="D21" s="46"/>
      <c r="E21" s="56"/>
      <c r="F21" s="47"/>
    </row>
    <row r="22" spans="1:8" ht="77.25" customHeight="1">
      <c r="A22" s="42"/>
      <c r="B22" s="26"/>
      <c r="C22" s="54"/>
      <c r="D22" s="46"/>
      <c r="E22" s="57"/>
      <c r="F22" s="48"/>
    </row>
    <row r="23" spans="1:8" ht="26.25" customHeight="1">
      <c r="A23" s="41">
        <v>3</v>
      </c>
      <c r="B23" s="26"/>
      <c r="C23" s="43"/>
      <c r="D23" s="45"/>
      <c r="E23" s="56"/>
      <c r="F23" s="47"/>
    </row>
    <row r="24" spans="1:8" ht="64.5" customHeight="1">
      <c r="A24" s="42"/>
      <c r="B24" s="26"/>
      <c r="C24" s="44"/>
      <c r="D24" s="46"/>
      <c r="E24" s="58"/>
      <c r="F24" s="48"/>
    </row>
    <row r="25" spans="1:8" ht="18">
      <c r="A25" s="28"/>
      <c r="B25" s="29"/>
      <c r="C25" s="30"/>
      <c r="D25" s="31"/>
      <c r="E25" s="32" t="s">
        <v>16</v>
      </c>
      <c r="F25" s="33">
        <f>SUM(F19:F24)</f>
        <v>28000</v>
      </c>
    </row>
    <row r="26" spans="1:8" ht="16.5">
      <c r="A26" s="34"/>
      <c r="B26" s="35"/>
      <c r="C26" s="30"/>
      <c r="D26" s="36"/>
      <c r="E26" s="37" t="s">
        <v>17</v>
      </c>
      <c r="F26" s="38"/>
    </row>
    <row r="27" spans="1:8" ht="16.5">
      <c r="A27" s="39"/>
      <c r="B27" s="40"/>
      <c r="C27" s="30"/>
      <c r="D27" s="36"/>
      <c r="E27" s="37" t="s">
        <v>18</v>
      </c>
      <c r="F27" s="33">
        <f>F25+F26</f>
        <v>28000</v>
      </c>
    </row>
    <row r="28" spans="1:8" ht="23.1" customHeight="1">
      <c r="A28" s="12"/>
      <c r="B28" s="12"/>
      <c r="C28" s="12"/>
      <c r="D28" s="12"/>
      <c r="E28" s="13" t="s">
        <v>19</v>
      </c>
      <c r="F28" s="14"/>
      <c r="H28" s="17"/>
    </row>
    <row r="29" spans="1:8" ht="21" customHeight="1">
      <c r="A29" s="12"/>
      <c r="B29" s="15" t="s">
        <v>20</v>
      </c>
      <c r="C29" s="12"/>
      <c r="D29" s="12"/>
      <c r="E29" s="16"/>
      <c r="F29" s="12"/>
    </row>
    <row r="30" spans="1:8" ht="17.25" customHeight="1">
      <c r="A30" s="12"/>
      <c r="B30" s="15" t="s">
        <v>21</v>
      </c>
      <c r="C30" s="12"/>
      <c r="D30" s="12"/>
      <c r="E30" s="12"/>
      <c r="F30" s="12"/>
    </row>
    <row r="31" spans="1:8" ht="21.75" customHeight="1">
      <c r="A31" s="12"/>
      <c r="B31" s="15" t="s">
        <v>22</v>
      </c>
      <c r="C31" s="12"/>
      <c r="D31" s="12"/>
      <c r="E31" s="12"/>
      <c r="F31" s="12"/>
    </row>
    <row r="32" spans="1:8">
      <c r="A32" s="12"/>
      <c r="B32" s="12"/>
      <c r="C32" s="12"/>
      <c r="D32" s="12"/>
      <c r="E32" s="12"/>
      <c r="F32" s="12"/>
    </row>
    <row r="33" spans="1:6" ht="22.9" customHeight="1">
      <c r="A33" s="12"/>
      <c r="B33" s="12"/>
      <c r="C33" s="12"/>
      <c r="D33" s="12"/>
      <c r="E33" s="12"/>
      <c r="F33" s="12"/>
    </row>
    <row r="34" spans="1:6" ht="22.15" customHeight="1">
      <c r="A34" s="12"/>
      <c r="B34" s="12"/>
      <c r="C34" s="12"/>
      <c r="D34" s="12"/>
      <c r="E34" s="12"/>
      <c r="F34" s="12"/>
    </row>
    <row r="35" spans="1:6" ht="21" customHeight="1">
      <c r="A35" s="12"/>
      <c r="B35" s="12"/>
      <c r="C35" s="12"/>
      <c r="D35" s="12"/>
      <c r="E35" s="12"/>
      <c r="F35" s="12"/>
    </row>
    <row r="36" spans="1:6" ht="31.15" customHeight="1"/>
  </sheetData>
  <mergeCells count="17">
    <mergeCell ref="E14:F14"/>
    <mergeCell ref="E15:F15"/>
    <mergeCell ref="E19:E20"/>
    <mergeCell ref="E21:E22"/>
    <mergeCell ref="E23:E24"/>
    <mergeCell ref="A23:A24"/>
    <mergeCell ref="C23:C24"/>
    <mergeCell ref="D23:D24"/>
    <mergeCell ref="F23:F24"/>
    <mergeCell ref="F19:F20"/>
    <mergeCell ref="F21:F22"/>
    <mergeCell ref="D19:D20"/>
    <mergeCell ref="D21:D22"/>
    <mergeCell ref="A19:A20"/>
    <mergeCell ref="A21:A22"/>
    <mergeCell ref="C19:C20"/>
    <mergeCell ref="C21:C22"/>
  </mergeCells>
  <pageMargins left="0.75" right="0" top="0.2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75" zoomScaleNormal="175" workbookViewId="0">
      <selection activeCell="D2" sqref="D2"/>
    </sheetView>
  </sheetViews>
  <sheetFormatPr defaultColWidth="9.140625" defaultRowHeight="15"/>
  <cols>
    <col min="1" max="1" width="4.42578125" customWidth="1"/>
    <col min="2" max="2" width="40.42578125" customWidth="1"/>
    <col min="3" max="3" width="46.42578125" customWidth="1"/>
    <col min="4" max="4" width="50.5703125" customWidth="1"/>
  </cols>
  <sheetData>
    <row r="1" spans="1:4">
      <c r="A1" s="1"/>
      <c r="B1" s="2" t="s">
        <v>10</v>
      </c>
      <c r="C1" s="1" t="s">
        <v>23</v>
      </c>
      <c r="D1" s="1" t="s">
        <v>24</v>
      </c>
    </row>
    <row r="2" spans="1:4" ht="30.75" customHeight="1">
      <c r="A2" s="3">
        <v>1</v>
      </c>
      <c r="B2" s="4" t="s">
        <v>25</v>
      </c>
      <c r="C2" s="5" t="s">
        <v>26</v>
      </c>
      <c r="D2" s="6" t="s">
        <v>27</v>
      </c>
    </row>
    <row r="3" spans="1:4">
      <c r="A3" s="3">
        <v>2</v>
      </c>
      <c r="B3" s="7"/>
      <c r="C3" s="8"/>
      <c r="D3" s="8"/>
    </row>
    <row r="4" spans="1:4">
      <c r="A4" s="3">
        <v>3</v>
      </c>
      <c r="B4" s="9"/>
      <c r="C4" s="8"/>
      <c r="D4" s="8"/>
    </row>
    <row r="5" spans="1:4">
      <c r="A5" s="3">
        <v>4</v>
      </c>
      <c r="B5" s="9"/>
      <c r="C5" s="8"/>
      <c r="D5" s="8"/>
    </row>
    <row r="6" spans="1:4">
      <c r="A6" s="3">
        <v>5</v>
      </c>
      <c r="B6" s="9"/>
      <c r="C6" s="8"/>
      <c r="D6" s="8"/>
    </row>
    <row r="7" spans="1:4">
      <c r="A7" s="3">
        <v>6</v>
      </c>
      <c r="B7" s="9"/>
      <c r="C7" s="8"/>
      <c r="D7" s="8"/>
    </row>
    <row r="8" spans="1:4">
      <c r="A8" s="3">
        <v>7</v>
      </c>
      <c r="B8" s="9"/>
      <c r="C8" s="8"/>
      <c r="D8" s="8"/>
    </row>
    <row r="9" spans="1:4">
      <c r="A9" s="3">
        <v>8</v>
      </c>
      <c r="B9" s="9"/>
      <c r="C9" s="8"/>
      <c r="D9" s="8"/>
    </row>
    <row r="10" spans="1:4">
      <c r="A10" s="3">
        <v>9</v>
      </c>
      <c r="B10" s="9"/>
      <c r="C10" s="8"/>
      <c r="D10" s="8"/>
    </row>
    <row r="11" spans="1:4">
      <c r="A11" s="3">
        <v>10</v>
      </c>
      <c r="B11" s="9"/>
      <c r="C11" s="8"/>
      <c r="D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Quotation</vt:lpstr>
      <vt:lpstr>Note</vt:lpstr>
      <vt:lpstr>Quotation!Print_Area</vt:lpstr>
    </vt:vector>
  </TitlesOfParts>
  <Company>Office Black Edition - tum0r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Vay-HP</cp:lastModifiedBy>
  <cp:lastPrinted>2026-05-19T04:41:00Z</cp:lastPrinted>
  <dcterms:created xsi:type="dcterms:W3CDTF">2016-08-22T02:02:00Z</dcterms:created>
  <dcterms:modified xsi:type="dcterms:W3CDTF">2026-06-12T09:42:31Z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857BC7C704A148139AEC1706B07A6E02_12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